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0a996cd164c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45c056a7cca459a"/>
    <x:sheet xmlns:r="http://schemas.openxmlformats.org/officeDocument/2006/relationships" name="General" sheetId="2" r:id="R508a5c3361fa4042"/>
    <x:sheet xmlns:r="http://schemas.openxmlformats.org/officeDocument/2006/relationships" name="HELE_TLE" sheetId="3" r:id="Rb27896d841f84eb1"/>
    <x:sheet xmlns:r="http://schemas.openxmlformats.org/officeDocument/2006/relationships" name="Arabic" sheetId="4" r:id="R392ea8a9349846cf"/>
    <x:sheet xmlns:r="http://schemas.openxmlformats.org/officeDocument/2006/relationships" name="Islamic" sheetId="5" r:id="R7e71cd00476f431d"/>
    <x:sheet xmlns:r="http://schemas.openxmlformats.org/officeDocument/2006/relationships" name="MAPE_Component" sheetId="6" r:id="Rfb3c672160114f47"/>
    <x:sheet xmlns:r="http://schemas.openxmlformats.org/officeDocument/2006/relationships" name="MAPE 9-Part Annual" sheetId="7" r:id="R9f60932ff7044a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32065"/>
      </x:patternFill>
    </x:fill>
    <x:fill>
      <x:patternFill patternType="solid">
        <x:fgColor rgb="FFEDE6F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2" fillId="3" borderId="0" xfId="0" applyNumberFormat="1" applyFont="1" applyFill="1" applyBorder="1"/>
    <x:xf numFmtId="201" fontId="0" fillId="3" borderId="1" xfId="0" applyNumberFormat="1" applyFont="1" applyFill="1" applyBorder="1"/>
    <x:xf numFmtId="201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3cef9759f4373" /><Relationship Type="http://schemas.openxmlformats.org/officeDocument/2006/relationships/theme" Target="/xl/theme/theme1.xml" Id="R37e38d0761bc48b9" /><Relationship Type="http://schemas.openxmlformats.org/officeDocument/2006/relationships/sharedStrings" Target="/xl/sharedStrings.xml" Id="Re19e8cc468964040" /><Relationship Type="http://schemas.openxmlformats.org/officeDocument/2006/relationships/worksheet" Target="/xl/worksheets/sheet1.xml" Id="Rf45c056a7cca459a" /><Relationship Type="http://schemas.openxmlformats.org/officeDocument/2006/relationships/worksheet" Target="/xl/worksheets/sheet2.xml" Id="R508a5c3361fa4042" /><Relationship Type="http://schemas.openxmlformats.org/officeDocument/2006/relationships/worksheet" Target="/xl/worksheets/sheet3.xml" Id="Rb27896d841f84eb1" /><Relationship Type="http://schemas.openxmlformats.org/officeDocument/2006/relationships/worksheet" Target="/xl/worksheets/sheet4.xml" Id="R392ea8a9349846cf" /><Relationship Type="http://schemas.openxmlformats.org/officeDocument/2006/relationships/worksheet" Target="/xl/worksheets/sheet5.xml" Id="R7e71cd00476f431d" /><Relationship Type="http://schemas.openxmlformats.org/officeDocument/2006/relationships/worksheet" Target="/xl/worksheets/sheet6.xml" Id="Rfb3c672160114f47" /><Relationship Type="http://schemas.openxmlformats.org/officeDocument/2006/relationships/worksheet" Target="/xl/worksheets/sheet7.xml" Id="R9f60932ff7044a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 ht="34" customHeight="1">
      <x:c r="A1" s="3" t="str">
        <x:v>UPS MARKS · PHASE 3.34 — FICTIONAL EXCEL TEST FIXTURES</x:v>
      </x:c>
      <x:c r="B1" s="3"/>
      <x:c r="C1" s="3"/>
      <x:c r="D1" s="3"/>
    </x:row>
    <x:row r="3">
      <x:c r="A3" s="6" t="str">
        <x:v>Purpose</x:v>
      </x:c>
      <x:c r="B3" t="str">
        <x:v>Independently recalculatable synthetic cases — NOT the school-approved workbook</x:v>
      </x:c>
    </x:row>
    <x:row r="4">
      <x:c r="A4" s="6" t="str">
        <x:v>How to use</x:v>
      </x:c>
      <x:c r="B4" t="str">
        <x:v>Open in Microsoft Excel; allow calculation; compare values on each tab to Phase 3.34 website.</x:v>
      </x:c>
    </x:row>
    <x:row r="5">
      <x:c r="A5" s="6" t="str">
        <x:v>Source templates</x:v>
      </x:c>
      <x:c r="B5" t="str">
        <x:v>Original workbooks are unchanged.</x:v>
      </x:c>
    </x:row>
    <x:row r="6">
      <x:c r="A6" s="6" t="str">
        <x:v>Category input</x:v>
      </x:c>
      <x:c r="B6" t="str">
        <x:v>Columns B and C: raw earned and raw possible.</x:v>
      </x:c>
    </x:row>
    <x:row r="7">
      <x:c r="A7" s="6" t="str">
        <x:v>Initial grade</x:v>
      </x:c>
      <x:c r="B7" t="str">
        <x:v>Computed with transparent Excel formulas in each fixture tab.</x:v>
      </x:c>
    </x:row>
    <x:row r="8">
      <x:c r="A8" s="6" t="str">
        <x:v>Transmuted term grade</x:v>
      </x:c>
      <x:c r="B8" t="str">
        <x:v>Intentionally blank pending independent lookup parity evidence.</x:v>
      </x:c>
    </x:row>
    <x:row r="9">
      <x:c r="A9" s="6" t="str">
        <x:v>Certification</x:v>
      </x:c>
      <x:c r="B9" t="str">
        <x:v>NOT CERTIFIED; MAPE final whole-number rounding not approved.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</x:cols>
  <x:sheetData>
    <x:row r="1" ht="30" customHeight="1">
      <x:c r="A1" s="3" t="str">
        <x:v>General — synthetic input fixture</x:v>
      </x:c>
      <x:c r="B1" s="3"/>
      <x:c r="C1" s="3"/>
      <x:c r="D1" s="3"/>
      <x:c r="E1" s="3"/>
    </x:row>
    <x:row r="3">
      <x:c r="A3" s="9" t="str">
        <x:v>Assessment category</x:v>
      </x:c>
      <x:c r="B3" s="9" t="str">
        <x:v>Earned</x:v>
      </x:c>
      <x:c r="C3" s="9" t="str">
        <x:v>Possible</x:v>
      </x:c>
      <x:c r="D3" s="9" t="str">
        <x:v>Weight</x:v>
      </x:c>
      <x:c r="E3" s="9" t="str">
        <x:v>Weighted points</x:v>
      </x:c>
    </x:row>
    <x:row r="4">
      <x:c r="A4" t="str">
        <x:v>Written Work</x:v>
      </x:c>
      <x:c r="B4" t="n">
        <x:v>18</x:v>
      </x:c>
      <x:c r="C4" t="n">
        <x:v>25</x:v>
      </x:c>
      <x:c r="D4" s="12" t="n">
        <x:v>0.2</x:v>
      </x:c>
      <x:c r="E4" s="14" t="n">
        <x:f>IF(OR(B4="",C4="",C4&lt;=0),"",100*B4/C4*D4)</x:f>
        <x:v>14.4</x:v>
      </x:c>
    </x:row>
    <x:row r="5">
      <x:c r="A5" t="str">
        <x:v>Performance Tasks</x:v>
      </x:c>
      <x:c r="B5" t="n">
        <x:v>48</x:v>
      </x:c>
      <x:c r="C5" t="n">
        <x:v>60</x:v>
      </x:c>
      <x:c r="D5" s="12" t="n">
        <x:v>0.6</x:v>
      </x:c>
      <x:c r="E5" s="14" t="n">
        <x:f>IF(OR(B5="",C5="",C5&lt;=0),"",100*B5/C5*D5)</x:f>
        <x:v>48</x:v>
      </x:c>
    </x:row>
    <x:row r="6">
      <x:c r="A6" t="str">
        <x:v>ST1</x:v>
      </x:c>
      <x:c r="B6" t="n">
        <x:v>21</x:v>
      </x:c>
      <x:c r="C6" t="n">
        <x:v>30</x:v>
      </x:c>
      <x:c r="D6" s="12" t="n">
        <x:v>0.06</x:v>
      </x:c>
      <x:c r="E6" s="14" t="n">
        <x:f>IF(OR(B6="",C6="",C6&lt;=0),"",100*B6/C6*D6)</x:f>
        <x:v>4.2</x:v>
      </x:c>
    </x:row>
    <x:row r="7">
      <x:c r="A7" t="str">
        <x:v>ST2</x:v>
      </x:c>
      <x:c r="B7" t="n">
        <x:v>22</x:v>
      </x:c>
      <x:c r="C7" t="n">
        <x:v>30</x:v>
      </x:c>
      <x:c r="D7" s="12" t="n">
        <x:v>0.06</x:v>
      </x:c>
      <x:c r="E7" s="14" t="n">
        <x:f>IF(OR(B7="",C7="",C7&lt;=0),"",100*B7/C7*D7)</x:f>
        <x:v>4.3999999999999995</x:v>
      </x:c>
    </x:row>
    <x:row r="8">
      <x:c r="A8" t="str">
        <x:v>Term Exam</x:v>
      </x:c>
      <x:c r="B8" t="n">
        <x:v>35</x:v>
      </x:c>
      <x:c r="C8" t="n">
        <x:v>40</x:v>
      </x:c>
      <x:c r="D8" s="12" t="n">
        <x:v>0.08</x:v>
      </x:c>
      <x:c r="E8" s="14" t="n">
        <x:f>IF(OR(B8="",C8="",C8&lt;=0),"",100*B8/C8*D8)</x:f>
        <x:v>7</x:v>
      </x:c>
    </x:row>
    <x:row r="9">
      <x:c r="E9" s="14"/>
    </x:row>
    <x:row r="10">
      <x:c r="A10" s="9" t="str">
        <x:v>Initial grade (0–100)</x:v>
      </x:c>
      <x:c r="B10" s="9"/>
      <x:c r="C10" s="9"/>
      <x:c r="D10" s="9"/>
      <x:c r="E10" s="17" t="n">
        <x:f>IF(COUNT(E4:E8)&lt;5,"",SUM(E4:E8))</x:f>
        <x:v>78</x:v>
      </x:c>
    </x:row>
    <x:row r="11">
      <x:c r="A11" t="str">
        <x:v>Term grade (HELPER)</x:v>
      </x:c>
      <x:c r="E11" t="str">
        <x:v>Not certified — compare source HELPER manually</x:v>
      </x:c>
    </x:row>
    <x:row r="13">
      <x:c r="A13" t="str">
        <x:v>Note: all scores are fictional. Each exam uses ST1=30%, ST2=30%, Final=40% inside EX=20% or 40%.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</x:cols>
  <x:sheetData>
    <x:row r="1" ht="30" customHeight="1">
      <x:c r="A1" s="3" t="str">
        <x:v>HELE_TLE — synthetic input fixture</x:v>
      </x:c>
      <x:c r="B1" s="3"/>
      <x:c r="C1" s="3"/>
      <x:c r="D1" s="3"/>
      <x:c r="E1" s="3"/>
    </x:row>
    <x:row r="3">
      <x:c r="A3" s="9" t="str">
        <x:v>Assessment category</x:v>
      </x:c>
      <x:c r="B3" s="9" t="str">
        <x:v>Earned</x:v>
      </x:c>
      <x:c r="C3" s="9" t="str">
        <x:v>Possible</x:v>
      </x:c>
      <x:c r="D3" s="9" t="str">
        <x:v>Weight</x:v>
      </x:c>
      <x:c r="E3" s="9" t="str">
        <x:v>Weighted points</x:v>
      </x:c>
    </x:row>
    <x:row r="4">
      <x:c r="A4" t="str">
        <x:v>Written Work</x:v>
      </x:c>
      <x:c r="B4" t="n">
        <x:v>27</x:v>
      </x:c>
      <x:c r="C4" t="n">
        <x:v>35</x:v>
      </x:c>
      <x:c r="D4" s="12" t="n">
        <x:v>0.3</x:v>
      </x:c>
      <x:c r="E4" s="14" t="n">
        <x:f>IF(OR(B4="",C4="",C4&lt;=0),"",100*B4/C4*D4)</x:f>
        <x:v>23.142857142857142</x:v>
      </x:c>
    </x:row>
    <x:row r="5">
      <x:c r="A5" t="str">
        <x:v>Performance Tasks</x:v>
      </x:c>
      <x:c r="B5" t="n">
        <x:v>40</x:v>
      </x:c>
      <x:c r="C5" t="n">
        <x:v>50</x:v>
      </x:c>
      <x:c r="D5" s="12" t="n">
        <x:v>0.5</x:v>
      </x:c>
      <x:c r="E5" s="14" t="n">
        <x:f>IF(OR(B5="",C5="",C5&lt;=0),"",100*B5/C5*D5)</x:f>
        <x:v>40</x:v>
      </x:c>
    </x:row>
    <x:row r="6">
      <x:c r="A6" t="str">
        <x:v>ST1</x:v>
      </x:c>
      <x:c r="B6" t="n">
        <x:v>21</x:v>
      </x:c>
      <x:c r="C6" t="n">
        <x:v>30</x:v>
      </x:c>
      <x:c r="D6" s="12" t="n">
        <x:v>0.06</x:v>
      </x:c>
      <x:c r="E6" s="14" t="n">
        <x:f>IF(OR(B6="",C6="",C6&lt;=0),"",100*B6/C6*D6)</x:f>
        <x:v>4.2</x:v>
      </x:c>
    </x:row>
    <x:row r="7">
      <x:c r="A7" t="str">
        <x:v>ST2</x:v>
      </x:c>
      <x:c r="B7" t="n">
        <x:v>22</x:v>
      </x:c>
      <x:c r="C7" t="n">
        <x:v>30</x:v>
      </x:c>
      <x:c r="D7" s="12" t="n">
        <x:v>0.06</x:v>
      </x:c>
      <x:c r="E7" s="14" t="n">
        <x:f>IF(OR(B7="",C7="",C7&lt;=0),"",100*B7/C7*D7)</x:f>
        <x:v>4.3999999999999995</x:v>
      </x:c>
    </x:row>
    <x:row r="8">
      <x:c r="A8" t="str">
        <x:v>Term Exam</x:v>
      </x:c>
      <x:c r="B8" t="n">
        <x:v>35</x:v>
      </x:c>
      <x:c r="C8" t="n">
        <x:v>40</x:v>
      </x:c>
      <x:c r="D8" s="12" t="n">
        <x:v>0.08</x:v>
      </x:c>
      <x:c r="E8" s="14" t="n">
        <x:f>IF(OR(B8="",C8="",C8&lt;=0),"",100*B8/C8*D8)</x:f>
        <x:v>7</x:v>
      </x:c>
    </x:row>
    <x:row r="9">
      <x:c r="E9" s="14"/>
    </x:row>
    <x:row r="10">
      <x:c r="A10" s="9" t="str">
        <x:v>Initial grade (0–100)</x:v>
      </x:c>
      <x:c r="B10" s="9"/>
      <x:c r="C10" s="9"/>
      <x:c r="D10" s="9"/>
      <x:c r="E10" s="17" t="n">
        <x:f>IF(COUNT(E4:E8)&lt;5,"",SUM(E4:E8))</x:f>
        <x:v>78.74285714285715</x:v>
      </x:c>
    </x:row>
    <x:row r="11">
      <x:c r="A11" t="str">
        <x:v>Term grade (HELPER)</x:v>
      </x:c>
      <x:c r="E11" t="str">
        <x:v>Not certified — compare source HELPER manually</x:v>
      </x:c>
    </x:row>
    <x:row r="13">
      <x:c r="A13" t="str">
        <x:v>Note: all scores are fictional. Each exam uses ST1=30%, ST2=30%, Final=40% inside EX=20% or 40%.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</x:cols>
  <x:sheetData>
    <x:row r="1" ht="30" customHeight="1">
      <x:c r="A1" s="3" t="str">
        <x:v>Arabic — synthetic input fixture</x:v>
      </x:c>
      <x:c r="B1" s="3"/>
      <x:c r="C1" s="3"/>
      <x:c r="D1" s="3"/>
      <x:c r="E1" s="3"/>
    </x:row>
    <x:row r="3">
      <x:c r="A3" s="9" t="str">
        <x:v>Assessment category</x:v>
      </x:c>
      <x:c r="B3" s="9" t="str">
        <x:v>Earned</x:v>
      </x:c>
      <x:c r="C3" s="9" t="str">
        <x:v>Possible</x:v>
      </x:c>
      <x:c r="D3" s="9" t="str">
        <x:v>Weight</x:v>
      </x:c>
      <x:c r="E3" s="9" t="str">
        <x:v>Weighted points</x:v>
      </x:c>
    </x:row>
    <x:row r="4">
      <x:c r="A4" t="str">
        <x:v>Listening &amp; Speaking</x:v>
      </x:c>
      <x:c r="B4" t="n">
        <x:v>38</x:v>
      </x:c>
      <x:c r="C4" t="n">
        <x:v>50</x:v>
      </x:c>
      <x:c r="D4" s="12" t="n">
        <x:v>0.1</x:v>
      </x:c>
      <x:c r="E4" s="14" t="n">
        <x:f>IF(OR(B4="",C4="",C4&lt;=0),"",ROUND(100*B4/C4,0)*D4)</x:f>
        <x:v>7.6000000000000005</x:v>
      </x:c>
    </x:row>
    <x:row r="5">
      <x:c r="A5" t="str">
        <x:v>Writing</x:v>
      </x:c>
      <x:c r="B5" t="n">
        <x:v>41</x:v>
      </x:c>
      <x:c r="C5" t="n">
        <x:v>50</x:v>
      </x:c>
      <x:c r="D5" s="12" t="n">
        <x:v>0.4</x:v>
      </x:c>
      <x:c r="E5" s="14" t="n">
        <x:f>IF(OR(B5="",C5="",C5&lt;=0),"",ROUND(100*B5/C5,0)*D5)</x:f>
        <x:v>32.800000000000004</x:v>
      </x:c>
    </x:row>
    <x:row r="6">
      <x:c r="A6" t="str">
        <x:v>Reading</x:v>
      </x:c>
      <x:c r="B6" t="n">
        <x:v>39</x:v>
      </x:c>
      <x:c r="C6" t="n">
        <x:v>50</x:v>
      </x:c>
      <x:c r="D6" s="12" t="n">
        <x:v>0.1</x:v>
      </x:c>
      <x:c r="E6" s="14" t="n">
        <x:f>IF(OR(B6="",C6="",C6&lt;=0),"",ROUND(100*B6/C6,0)*D6)</x:f>
        <x:v>7.800000000000001</x:v>
      </x:c>
    </x:row>
    <x:row r="7">
      <x:c r="A7" t="str">
        <x:v>ST1</x:v>
      </x:c>
      <x:c r="B7" t="n">
        <x:v>21</x:v>
      </x:c>
      <x:c r="C7" t="n">
        <x:v>30</x:v>
      </x:c>
      <x:c r="D7" s="12" t="n">
        <x:v>0.12</x:v>
      </x:c>
      <x:c r="E7" s="14" t="n">
        <x:f>IF(OR(B7="",C7="",C7&lt;=0),"",100*B7/C7*D7)</x:f>
        <x:v>8.4</x:v>
      </x:c>
    </x:row>
    <x:row r="8">
      <x:c r="A8" t="str">
        <x:v>ST2</x:v>
      </x:c>
      <x:c r="B8" t="n">
        <x:v>22</x:v>
      </x:c>
      <x:c r="C8" t="n">
        <x:v>30</x:v>
      </x:c>
      <x:c r="D8" s="12" t="n">
        <x:v>0.12</x:v>
      </x:c>
      <x:c r="E8" s="14" t="n">
        <x:f>IF(OR(B8="",C8="",C8&lt;=0),"",100*B8/C8*D8)</x:f>
        <x:v>8.799999999999999</x:v>
      </x:c>
    </x:row>
    <x:row r="9">
      <x:c r="A9" t="str">
        <x:v>Term Exam</x:v>
      </x:c>
      <x:c r="B9" t="n">
        <x:v>35</x:v>
      </x:c>
      <x:c r="C9" t="n">
        <x:v>40</x:v>
      </x:c>
      <x:c r="D9" s="12" t="n">
        <x:v>0.16</x:v>
      </x:c>
      <x:c r="E9" s="14" t="n">
        <x:f>IF(OR(B9="",C9="",C9&lt;=0),"",100*B9/C9*D9)</x:f>
        <x:v>14</x:v>
      </x:c>
    </x:row>
    <x:row r="10">
      <x:c r="E10" s="14"/>
    </x:row>
    <x:row r="11">
      <x:c r="A11" s="9" t="str">
        <x:v>Initial grade (0–100)</x:v>
      </x:c>
      <x:c r="B11" s="9"/>
      <x:c r="C11" s="9"/>
      <x:c r="D11" s="9"/>
      <x:c r="E11" s="17" t="n">
        <x:f>IF(COUNT(E4:E9)&lt;6,"",SUM(E4:E9))</x:f>
        <x:v>79.4</x:v>
      </x:c>
    </x:row>
    <x:row r="12">
      <x:c r="A12" t="str">
        <x:v>Term grade (HELPER)</x:v>
      </x:c>
      <x:c r="E12" t="str">
        <x:v>Not certified — compare source HELPER manually</x:v>
      </x:c>
    </x:row>
    <x:row r="14">
      <x:c r="A14" t="str">
        <x:v>Note: all scores are fictional. Each exam uses ST1=30%, ST2=30%, Final=40% inside EX=20% or 40%.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</x:cols>
  <x:sheetData>
    <x:row r="1" ht="30" customHeight="1">
      <x:c r="A1" s="3" t="str">
        <x:v>Islamic — synthetic input fixture</x:v>
      </x:c>
      <x:c r="B1" s="3"/>
      <x:c r="C1" s="3"/>
      <x:c r="D1" s="3"/>
      <x:c r="E1" s="3"/>
    </x:row>
    <x:row r="3">
      <x:c r="A3" s="9" t="str">
        <x:v>Assessment category</x:v>
      </x:c>
      <x:c r="B3" s="9" t="str">
        <x:v>Earned</x:v>
      </x:c>
      <x:c r="C3" s="9" t="str">
        <x:v>Possible</x:v>
      </x:c>
      <x:c r="D3" s="9" t="str">
        <x:v>Weight</x:v>
      </x:c>
      <x:c r="E3" s="9" t="str">
        <x:v>Weighted points</x:v>
      </x:c>
    </x:row>
    <x:row r="4">
      <x:c r="A4" t="str">
        <x:v>Quran Recitation</x:v>
      </x:c>
      <x:c r="B4" t="n">
        <x:v>17</x:v>
      </x:c>
      <x:c r="C4" t="n">
        <x:v>20</x:v>
      </x:c>
      <x:c r="D4" s="12" t="n">
        <x:v>0.1</x:v>
      </x:c>
      <x:c r="E4" s="14" t="n">
        <x:f>IF(OR(B4="",C4="",C4&lt;=0),"",ROUND(100*B4/C4,0)*D4)</x:f>
        <x:v>8.5</x:v>
      </x:c>
    </x:row>
    <x:row r="5">
      <x:c r="A5" t="str">
        <x:v>Memorization</x:v>
      </x:c>
      <x:c r="B5" t="n">
        <x:v>18</x:v>
      </x:c>
      <x:c r="C5" t="n">
        <x:v>20</x:v>
      </x:c>
      <x:c r="D5" s="12" t="n">
        <x:v>0.15</x:v>
      </x:c>
      <x:c r="E5" s="14" t="n">
        <x:f>IF(OR(B5="",C5="",C5&lt;=0),"",ROUND(100*B5/C5,0)*D5)</x:f>
        <x:v>13.5</x:v>
      </x:c>
    </x:row>
    <x:row r="6">
      <x:c r="A6" t="str">
        <x:v>Values</x:v>
      </x:c>
      <x:c r="B6" t="n">
        <x:v>19</x:v>
      </x:c>
      <x:c r="C6" t="n">
        <x:v>20</x:v>
      </x:c>
      <x:c r="D6" s="12" t="n">
        <x:v>0.05</x:v>
      </x:c>
      <x:c r="E6" s="14" t="n">
        <x:f>IF(OR(B6="",C6="",C6&lt;=0),"",ROUND(100*B6/C6,0)*D6)</x:f>
        <x:v>4.75</x:v>
      </x:c>
    </x:row>
    <x:row r="7">
      <x:c r="A7" t="str">
        <x:v>Worksheets Quizzes Activities</x:v>
      </x:c>
      <x:c r="B7" t="n">
        <x:v>41</x:v>
      </x:c>
      <x:c r="C7" t="n">
        <x:v>50</x:v>
      </x:c>
      <x:c r="D7" s="12" t="n">
        <x:v>0.3</x:v>
      </x:c>
      <x:c r="E7" s="14" t="n">
        <x:f>IF(OR(B7="",C7="",C7&lt;=0),"",ROUND(100*B7/C7,0)*D7)</x:f>
        <x:v>24.599999999999998</x:v>
      </x:c>
    </x:row>
    <x:row r="8">
      <x:c r="A8" t="str">
        <x:v>ST1</x:v>
      </x:c>
      <x:c r="B8" t="n">
        <x:v>21</x:v>
      </x:c>
      <x:c r="C8" t="n">
        <x:v>30</x:v>
      </x:c>
      <x:c r="D8" s="12" t="n">
        <x:v>0.12</x:v>
      </x:c>
      <x:c r="E8" s="14" t="n">
        <x:f>IF(OR(B8="",C8="",C8&lt;=0),"",100*B8/C8*D8)</x:f>
        <x:v>8.4</x:v>
      </x:c>
    </x:row>
    <x:row r="9">
      <x:c r="A9" t="str">
        <x:v>ST2</x:v>
      </x:c>
      <x:c r="B9" t="n">
        <x:v>22</x:v>
      </x:c>
      <x:c r="C9" t="n">
        <x:v>30</x:v>
      </x:c>
      <x:c r="D9" s="12" t="n">
        <x:v>0.12</x:v>
      </x:c>
      <x:c r="E9" s="14" t="n">
        <x:f>IF(OR(B9="",C9="",C9&lt;=0),"",100*B9/C9*D9)</x:f>
        <x:v>8.799999999999999</x:v>
      </x:c>
    </x:row>
    <x:row r="10">
      <x:c r="A10" t="str">
        <x:v>Term Exam</x:v>
      </x:c>
      <x:c r="B10" t="n">
        <x:v>35</x:v>
      </x:c>
      <x:c r="C10" t="n">
        <x:v>40</x:v>
      </x:c>
      <x:c r="D10" s="12" t="n">
        <x:v>0.16</x:v>
      </x:c>
      <x:c r="E10" s="14" t="n">
        <x:f>IF(OR(B10="",C10="",C10&lt;=0),"",100*B10/C10*D10)</x:f>
        <x:v>14</x:v>
      </x:c>
    </x:row>
    <x:row r="11">
      <x:c r="E11" s="14"/>
    </x:row>
    <x:row r="12">
      <x:c r="A12" s="9" t="str">
        <x:v>Initial grade (0–100)</x:v>
      </x:c>
      <x:c r="B12" s="9"/>
      <x:c r="C12" s="9"/>
      <x:c r="D12" s="9"/>
      <x:c r="E12" s="17" t="n">
        <x:f>IF(COUNT(E4:E10)&lt;7,"",SUM(E4:E10))</x:f>
        <x:v>82.55</x:v>
      </x:c>
    </x:row>
    <x:row r="13">
      <x:c r="A13" t="str">
        <x:v>Term grade (HELPER)</x:v>
      </x:c>
      <x:c r="E13" t="str">
        <x:v>Not certified — compare source HELPER manually</x:v>
      </x:c>
    </x:row>
    <x:row r="15">
      <x:c r="A15" t="str">
        <x:v>Note: all scores are fictional. Each exam uses ST1=30%, ST2=30%, Final=40% inside EX=20% or 40%.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</x:cols>
  <x:sheetData>
    <x:row r="1" ht="30" customHeight="1">
      <x:c r="A1" s="3" t="str">
        <x:v>MAPE_Component — synthetic input fixture</x:v>
      </x:c>
      <x:c r="B1" s="3"/>
      <x:c r="C1" s="3"/>
      <x:c r="D1" s="3"/>
      <x:c r="E1" s="3"/>
    </x:row>
    <x:row r="3">
      <x:c r="A3" s="9" t="str">
        <x:v>Assessment category</x:v>
      </x:c>
      <x:c r="B3" s="9" t="str">
        <x:v>Earned</x:v>
      </x:c>
      <x:c r="C3" s="9" t="str">
        <x:v>Possible</x:v>
      </x:c>
      <x:c r="D3" s="9" t="str">
        <x:v>Weight</x:v>
      </x:c>
      <x:c r="E3" s="9" t="str">
        <x:v>Weighted points</x:v>
      </x:c>
    </x:row>
    <x:row r="4">
      <x:c r="A4" t="str">
        <x:v>Written Work</x:v>
      </x:c>
      <x:c r="B4" t="n">
        <x:v>18</x:v>
      </x:c>
      <x:c r="C4" t="n">
        <x:v>25</x:v>
      </x:c>
      <x:c r="D4" s="12" t="n">
        <x:v>0.2</x:v>
      </x:c>
      <x:c r="E4" s="14" t="n">
        <x:f>IF(OR(B4="",C4="",C4&lt;=0),"",100*B4/C4*D4)</x:f>
        <x:v>14.4</x:v>
      </x:c>
    </x:row>
    <x:row r="5">
      <x:c r="A5" t="str">
        <x:v>Performance Tasks</x:v>
      </x:c>
      <x:c r="B5" t="n">
        <x:v>48</x:v>
      </x:c>
      <x:c r="C5" t="n">
        <x:v>60</x:v>
      </x:c>
      <x:c r="D5" s="12" t="n">
        <x:v>0.6</x:v>
      </x:c>
      <x:c r="E5" s="14" t="n">
        <x:f>IF(OR(B5="",C5="",C5&lt;=0),"",100*B5/C5*D5)</x:f>
        <x:v>48</x:v>
      </x:c>
    </x:row>
    <x:row r="6">
      <x:c r="A6" t="str">
        <x:v>ST1</x:v>
      </x:c>
      <x:c r="B6" t="n">
        <x:v>21</x:v>
      </x:c>
      <x:c r="C6" t="n">
        <x:v>30</x:v>
      </x:c>
      <x:c r="D6" s="12" t="n">
        <x:v>0.06</x:v>
      </x:c>
      <x:c r="E6" s="14" t="n">
        <x:f>IF(OR(B6="",C6="",C6&lt;=0),"",100*B6/C6*D6)</x:f>
        <x:v>4.2</x:v>
      </x:c>
    </x:row>
    <x:row r="7">
      <x:c r="A7" t="str">
        <x:v>ST2</x:v>
      </x:c>
      <x:c r="B7" t="n">
        <x:v>22</x:v>
      </x:c>
      <x:c r="C7" t="n">
        <x:v>30</x:v>
      </x:c>
      <x:c r="D7" s="12" t="n">
        <x:v>0.06</x:v>
      </x:c>
      <x:c r="E7" s="14" t="n">
        <x:f>IF(OR(B7="",C7="",C7&lt;=0),"",100*B7/C7*D7)</x:f>
        <x:v>4.3999999999999995</x:v>
      </x:c>
    </x:row>
    <x:row r="8">
      <x:c r="A8" t="str">
        <x:v>Term Exam</x:v>
      </x:c>
      <x:c r="B8" t="n">
        <x:v>35</x:v>
      </x:c>
      <x:c r="C8" t="n">
        <x:v>40</x:v>
      </x:c>
      <x:c r="D8" s="12" t="n">
        <x:v>0.08</x:v>
      </x:c>
      <x:c r="E8" s="14" t="n">
        <x:f>IF(OR(B8="",C8="",C8&lt;=0),"",100*B8/C8*D8)</x:f>
        <x:v>7</x:v>
      </x:c>
    </x:row>
    <x:row r="9">
      <x:c r="E9" s="14"/>
    </x:row>
    <x:row r="10">
      <x:c r="A10" s="9" t="str">
        <x:v>Initial grade (0–100)</x:v>
      </x:c>
      <x:c r="B10" s="9"/>
      <x:c r="C10" s="9"/>
      <x:c r="D10" s="9"/>
      <x:c r="E10" s="17" t="n">
        <x:f>IF(COUNT(E4:E8)&lt;5,"",SUM(E4:E8))</x:f>
        <x:v>78</x:v>
      </x:c>
    </x:row>
    <x:row r="11">
      <x:c r="A11" t="str">
        <x:v>Term grade (HELPER)</x:v>
      </x:c>
      <x:c r="E11" t="str">
        <x:v>Not certified — compare source HELPER manually</x:v>
      </x:c>
    </x:row>
    <x:row r="13">
      <x:c r="A13" t="str">
        <x:v>Note: all scores are fictional. Each exam uses ST1=30%, ST2=30%, Final=40% inside EX=20% or 40%.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5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MAPE ANNUAL · NINE TRANSMUTED GRADES — SYNTHETIC ONLY</x:v>
      </x:c>
      <x:c r="B1" s="3"/>
      <x:c r="C1" s="3"/>
      <x:c r="D1" s="3"/>
    </x:row>
    <x:row r="3">
      <x:c r="A3" s="9" t="str">
        <x:v>Component</x:v>
      </x:c>
      <x:c r="B3" s="9" t="str">
        <x:v>Term 1</x:v>
      </x:c>
      <x:c r="C3" s="9" t="str">
        <x:v>Term 2</x:v>
      </x:c>
      <x:c r="D3" s="9" t="str">
        <x:v>Term 3</x:v>
      </x:c>
    </x:row>
    <x:row r="4">
      <x:c r="A4" t="str">
        <x:v>Music</x:v>
      </x:c>
      <x:c r="B4" t="n">
        <x:v>88</x:v>
      </x:c>
      <x:c r="C4" t="n">
        <x:v>90</x:v>
      </x:c>
      <x:c r="D4" t="n">
        <x:v>91</x:v>
      </x:c>
    </x:row>
    <x:row r="5">
      <x:c r="A5" t="str">
        <x:v>Arts</x:v>
      </x:c>
      <x:c r="B5" t="n">
        <x:v>89</x:v>
      </x:c>
      <x:c r="C5" t="n">
        <x:v>90</x:v>
      </x:c>
      <x:c r="D5" t="n">
        <x:v>92</x:v>
      </x:c>
    </x:row>
    <x:row r="6">
      <x:c r="A6" t="str">
        <x:v>PE</x:v>
      </x:c>
      <x:c r="B6" t="n">
        <x:v>91</x:v>
      </x:c>
      <x:c r="C6" t="n">
        <x:v>93</x:v>
      </x:c>
      <x:c r="D6" t="n">
        <x:v>94</x:v>
      </x:c>
    </x:row>
    <x:row r="8">
      <x:c r="A8" t="str">
        <x:v>Nine-term average</x:v>
      </x:c>
      <x:c r="D8" t="n">
        <x:f>AVERAGE(B4:D6)</x:f>
        <x:v>90.88888888888889</x:v>
      </x:c>
    </x:row>
    <x:row r="9">
      <x:c r="A9" t="str">
        <x:v>Candidate rounding (NOT APPROVED)</x:v>
      </x:c>
      <x:c r="D9" t="n">
        <x:f>ROUND(D8,0)</x:f>
        <x:v>91</x:v>
      </x:c>
    </x:row>
    <x:row r="11">
      <x:c r="A11" t="str">
        <x:v>Both outputs are tests of the approved nine-component structure; final rounding needs school sign-off.</x:v>
      </x:c>
    </x:row>
  </x:sheetData>
  <x:mergeCells>
    <x:mergeCell ref="A1:D1"/>
  </x:mergeCells>
  <x:pageMargins left="0.7" right="0.7" top="0.75" bottom="0.75" header="0.3" footer="0.3"/>
</x:worksheet>
</file>